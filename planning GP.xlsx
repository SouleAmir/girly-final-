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A ABOUBACAR\Desktop\marchandise 24 calcul\"/>
    </mc:Choice>
  </mc:AlternateContent>
  <bookViews>
    <workbookView xWindow="0" yWindow="0" windowWidth="23040" windowHeight="8688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5" i="1"/>
  <c r="H16" i="1"/>
  <c r="H15" i="1"/>
  <c r="J15" i="1"/>
  <c r="J6" i="1" l="1"/>
  <c r="J11" i="1"/>
  <c r="I11" i="1"/>
  <c r="H11" i="1"/>
  <c r="I6" i="1"/>
  <c r="H6" i="1"/>
</calcChain>
</file>

<file path=xl/sharedStrings.xml><?xml version="1.0" encoding="utf-8"?>
<sst xmlns="http://schemas.openxmlformats.org/spreadsheetml/2006/main" count="15" uniqueCount="8">
  <si>
    <t>kilos</t>
  </si>
  <si>
    <t>reste</t>
  </si>
  <si>
    <t>total</t>
  </si>
  <si>
    <t>depense</t>
  </si>
  <si>
    <t xml:space="preserve">reste </t>
  </si>
  <si>
    <t xml:space="preserve">planing GP baguages superieur </t>
  </si>
  <si>
    <t>planing gp achat 23 kilos</t>
  </si>
  <si>
    <t xml:space="preserve">planning gp achat 46 kilos ou billet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</si>
</sst>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J17"/>
  <sheetViews>
    <sheetView tabSelected="1" workbookViewId="0">
      <selection activeCell="K14" sqref="K14"/>
    </sheetView>
  </sheetViews>
  <sheetFormatPr baseColWidth="10" defaultRowHeight="14.4" x14ac:dyDescent="0.3"/>
  <cols>
    <col min="7" max="8" width="11.6640625" bestFit="1" customWidth="1"/>
    <col min="9" max="9" width="9.33203125" bestFit="1" customWidth="1"/>
    <col min="10" max="10" width="11.6640625" bestFit="1" customWidth="1"/>
  </cols>
  <sheetData>
    <row r="3" spans="7:10" ht="15" thickBot="1" x14ac:dyDescent="0.35"/>
    <row r="4" spans="7:10" ht="19.2" thickTop="1" thickBot="1" x14ac:dyDescent="0.4">
      <c r="G4" s="2" t="s">
        <v>5</v>
      </c>
      <c r="H4" s="2"/>
      <c r="I4" s="2"/>
      <c r="J4" s="2"/>
    </row>
    <row r="5" spans="7:10" ht="19.2" thickTop="1" thickBot="1" x14ac:dyDescent="0.4">
      <c r="G5" s="1" t="s">
        <v>0</v>
      </c>
      <c r="H5" s="1" t="s">
        <v>2</v>
      </c>
      <c r="I5" s="1" t="s">
        <v>3</v>
      </c>
      <c r="J5" s="1" t="s">
        <v>4</v>
      </c>
    </row>
    <row r="6" spans="7:10" ht="19.2" thickTop="1" thickBot="1" x14ac:dyDescent="0.4">
      <c r="G6" s="1">
        <v>32</v>
      </c>
      <c r="H6" s="1">
        <f>G6*6000</f>
        <v>192000</v>
      </c>
      <c r="I6" s="1">
        <f>20000+10500+146800</f>
        <v>177300</v>
      </c>
      <c r="J6" s="1">
        <f>H6-I6</f>
        <v>14700</v>
      </c>
    </row>
    <row r="7" spans="7:10" ht="15" thickTop="1" x14ac:dyDescent="0.3"/>
    <row r="8" spans="7:10" ht="15" thickBot="1" x14ac:dyDescent="0.35"/>
    <row r="9" spans="7:10" ht="19.2" thickTop="1" thickBot="1" x14ac:dyDescent="0.4">
      <c r="G9" s="2" t="s">
        <v>6</v>
      </c>
      <c r="H9" s="2"/>
      <c r="I9" s="2"/>
      <c r="J9" s="2"/>
    </row>
    <row r="10" spans="7:10" ht="19.2" thickTop="1" thickBot="1" x14ac:dyDescent="0.4">
      <c r="G10" s="1" t="s">
        <v>0</v>
      </c>
      <c r="H10" s="1" t="s">
        <v>2</v>
      </c>
      <c r="I10" s="1" t="s">
        <v>3</v>
      </c>
      <c r="J10" s="1" t="s">
        <v>1</v>
      </c>
    </row>
    <row r="11" spans="7:10" ht="19.2" thickTop="1" thickBot="1" x14ac:dyDescent="0.4">
      <c r="G11" s="1">
        <v>32</v>
      </c>
      <c r="H11" s="1">
        <f>G11*6000</f>
        <v>192000</v>
      </c>
      <c r="I11" s="1">
        <f>36800+20000+10500</f>
        <v>67300</v>
      </c>
      <c r="J11" s="1">
        <f>H11-I11</f>
        <v>124700</v>
      </c>
    </row>
    <row r="12" spans="7:10" ht="15.6" thickTop="1" thickBot="1" x14ac:dyDescent="0.35"/>
    <row r="13" spans="7:10" ht="19.2" thickTop="1" thickBot="1" x14ac:dyDescent="0.4">
      <c r="G13" s="2" t="s">
        <v>7</v>
      </c>
      <c r="H13" s="2"/>
      <c r="I13" s="2"/>
      <c r="J13" s="2"/>
    </row>
    <row r="14" spans="7:10" ht="19.2" thickTop="1" thickBot="1" x14ac:dyDescent="0.4">
      <c r="G14" s="1" t="s">
        <v>0</v>
      </c>
      <c r="H14" s="1" t="s">
        <v>2</v>
      </c>
      <c r="I14" s="1" t="s">
        <v>3</v>
      </c>
      <c r="J14" s="1" t="s">
        <v>1</v>
      </c>
    </row>
    <row r="15" spans="7:10" ht="19.2" thickTop="1" thickBot="1" x14ac:dyDescent="0.4">
      <c r="G15" s="1">
        <v>64</v>
      </c>
      <c r="H15" s="1">
        <f>6000*G15</f>
        <v>384000</v>
      </c>
      <c r="I15" s="1">
        <f>37000+37000+40000+10500</f>
        <v>124500</v>
      </c>
      <c r="J15" s="1">
        <f>H15-I15</f>
        <v>259500</v>
      </c>
    </row>
    <row r="16" spans="7:10" ht="19.2" thickTop="1" thickBot="1" x14ac:dyDescent="0.4">
      <c r="H16">
        <f>H15-60000</f>
        <v>324000</v>
      </c>
      <c r="I16" s="1">
        <f>37000+37000+40000+10500</f>
        <v>124500</v>
      </c>
    </row>
    <row r="17" ht="15" thickTop="1" x14ac:dyDescent="0.3"/>
  </sheetData>
  <mergeCells count="3">
    <mergeCell ref="G4:J4"/>
    <mergeCell ref="G9:J9"/>
    <mergeCell ref="G13:J13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ABOUBACAR</dc:creator>
  <cp:lastModifiedBy>DANIA ABOUBACAR</cp:lastModifiedBy>
  <dcterms:created xsi:type="dcterms:W3CDTF">2026-05-25T23:07:35Z</dcterms:created>
  <dcterms:modified xsi:type="dcterms:W3CDTF">2026-06-16T12:47:24Z</dcterms:modified>
</cp:coreProperties>
</file>