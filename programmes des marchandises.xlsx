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A ABOUBACAR\Desktop\marchandise 24 calcul\"/>
    </mc:Choice>
  </mc:AlternateContent>
  <bookViews>
    <workbookView xWindow="0" yWindow="0" windowWidth="19368" windowHeight="8688" activeTab="1"/>
  </bookViews>
  <sheets>
    <sheet name="Feuil1" sheetId="1" r:id="rId1"/>
    <sheet name="Feuil2" sheetId="2" r:id="rId2"/>
    <sheet name="Feuil4" sheetId="4" r:id="rId3"/>
    <sheet name="Feuil3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2" l="1"/>
  <c r="H16" i="2"/>
  <c r="H19" i="4" l="1"/>
  <c r="F7" i="4"/>
  <c r="F12" i="4" l="1"/>
  <c r="F11" i="4" l="1"/>
  <c r="F8" i="4"/>
  <c r="F10" i="3" l="1"/>
  <c r="I19" i="4" l="1"/>
  <c r="H12" i="4" l="1"/>
  <c r="F10" i="4"/>
  <c r="H10" i="4" s="1"/>
  <c r="F9" i="4"/>
  <c r="H9" i="4" s="1"/>
  <c r="H7" i="4"/>
  <c r="H6" i="4"/>
  <c r="H11" i="4"/>
  <c r="H8" i="4"/>
  <c r="F13" i="4" l="1"/>
  <c r="E19" i="4" s="1"/>
  <c r="G19" i="4" s="1"/>
  <c r="J19" i="4" s="1"/>
  <c r="F6" i="2"/>
  <c r="H11" i="2"/>
  <c r="H5" i="2" l="1"/>
  <c r="F17" i="1" l="1"/>
  <c r="G17" i="1"/>
  <c r="D17" i="1" l="1"/>
  <c r="H5" i="3" l="1"/>
  <c r="E10" i="3" s="1"/>
  <c r="H10" i="3" s="1"/>
  <c r="H8" i="2"/>
  <c r="H7" i="2"/>
  <c r="H10" i="2"/>
  <c r="H6" i="2"/>
  <c r="H9" i="2"/>
  <c r="F12" i="2" l="1"/>
  <c r="E16" i="2" s="1"/>
  <c r="I17" i="1"/>
  <c r="J16" i="2" l="1"/>
  <c r="E12" i="1"/>
  <c r="G11" i="1"/>
  <c r="G6" i="1" l="1"/>
  <c r="G7" i="1"/>
  <c r="G8" i="1"/>
  <c r="G9" i="1"/>
  <c r="G10" i="1"/>
  <c r="G5" i="1"/>
</calcChain>
</file>

<file path=xl/sharedStrings.xml><?xml version="1.0" encoding="utf-8"?>
<sst xmlns="http://schemas.openxmlformats.org/spreadsheetml/2006/main" count="91" uniqueCount="40">
  <si>
    <t xml:space="preserve">produit </t>
  </si>
  <si>
    <t xml:space="preserve">nova </t>
  </si>
  <si>
    <t>brosse visage</t>
  </si>
  <si>
    <t xml:space="preserve">gans exofilant </t>
  </si>
  <si>
    <t xml:space="preserve">gommage </t>
  </si>
  <si>
    <t>gloss</t>
  </si>
  <si>
    <t>crayons levres</t>
  </si>
  <si>
    <t xml:space="preserve">quantite </t>
  </si>
  <si>
    <t xml:space="preserve">prix </t>
  </si>
  <si>
    <t>total</t>
  </si>
  <si>
    <t xml:space="preserve">GAUMAGE LIQUIDE </t>
  </si>
  <si>
    <t>produit 4 juin</t>
  </si>
  <si>
    <t xml:space="preserve">total </t>
  </si>
  <si>
    <t xml:space="preserve">utilisation </t>
  </si>
  <si>
    <t xml:space="preserve">comores </t>
  </si>
  <si>
    <t xml:space="preserve">senegal </t>
  </si>
  <si>
    <t xml:space="preserve">total senegal </t>
  </si>
  <si>
    <t xml:space="preserve">rachat produit </t>
  </si>
  <si>
    <t xml:space="preserve">reste au senegal </t>
  </si>
  <si>
    <t>BON</t>
  </si>
  <si>
    <t>quantité</t>
  </si>
  <si>
    <t>prix global</t>
  </si>
  <si>
    <t>brosse</t>
  </si>
  <si>
    <t>gans</t>
  </si>
  <si>
    <t xml:space="preserve">crayons </t>
  </si>
  <si>
    <t>nova</t>
  </si>
  <si>
    <t xml:space="preserve">gommage brosse a levre </t>
  </si>
  <si>
    <t>par jour</t>
  </si>
  <si>
    <t>prix</t>
  </si>
  <si>
    <t xml:space="preserve">mois </t>
  </si>
  <si>
    <t>programme logement</t>
  </si>
  <si>
    <t>Total mois</t>
  </si>
  <si>
    <t xml:space="preserve">loyer </t>
  </si>
  <si>
    <t xml:space="preserve">personnel et charge </t>
  </si>
  <si>
    <t>reste</t>
  </si>
  <si>
    <t>utilisation</t>
  </si>
  <si>
    <t>prochaine vol juin</t>
  </si>
  <si>
    <t xml:space="preserve">brosse et bando </t>
  </si>
  <si>
    <t>bon</t>
  </si>
  <si>
    <t xml:space="preserve">lait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</si>
</sst>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Fill="1" applyBorder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20"/>
  <sheetViews>
    <sheetView workbookViewId="0">
      <selection activeCell="E12" sqref="E12:G12"/>
    </sheetView>
  </sheetViews>
  <sheetFormatPr baseColWidth="10" defaultRowHeight="14.4" x14ac:dyDescent="0.3"/>
  <cols>
    <col min="3" max="3" width="8.5546875" customWidth="1"/>
    <col min="4" max="4" width="21.6640625" bestFit="1" customWidth="1"/>
    <col min="8" max="8" width="13" bestFit="1" customWidth="1"/>
    <col min="9" max="9" width="17.88671875" bestFit="1" customWidth="1"/>
  </cols>
  <sheetData>
    <row r="3" spans="4:10" ht="18.600000000000001" thickBot="1" x14ac:dyDescent="0.4">
      <c r="D3" s="11" t="s">
        <v>11</v>
      </c>
      <c r="E3" s="11"/>
      <c r="F3" s="11"/>
      <c r="G3" s="11"/>
    </row>
    <row r="4" spans="4:10" ht="16.8" thickTop="1" thickBot="1" x14ac:dyDescent="0.35">
      <c r="D4" s="2" t="s">
        <v>0</v>
      </c>
      <c r="E4" s="2" t="s">
        <v>7</v>
      </c>
      <c r="F4" s="2" t="s">
        <v>8</v>
      </c>
      <c r="G4" s="2" t="s">
        <v>9</v>
      </c>
      <c r="J4" s="5"/>
    </row>
    <row r="5" spans="4:10" ht="16.8" thickTop="1" thickBot="1" x14ac:dyDescent="0.35">
      <c r="D5" s="2" t="s">
        <v>1</v>
      </c>
      <c r="E5" s="2">
        <v>14</v>
      </c>
      <c r="F5" s="2">
        <v>6000</v>
      </c>
      <c r="G5" s="2">
        <f t="shared" ref="G5:G10" si="0">F5*E5</f>
        <v>84000</v>
      </c>
      <c r="H5" s="4" t="s">
        <v>19</v>
      </c>
    </row>
    <row r="6" spans="4:10" ht="16.8" thickTop="1" thickBot="1" x14ac:dyDescent="0.35">
      <c r="D6" s="2" t="s">
        <v>2</v>
      </c>
      <c r="E6" s="2">
        <v>24</v>
      </c>
      <c r="F6" s="2">
        <v>1500</v>
      </c>
      <c r="G6" s="2">
        <f t="shared" si="0"/>
        <v>36000</v>
      </c>
      <c r="H6" s="4" t="s">
        <v>19</v>
      </c>
    </row>
    <row r="7" spans="4:10" ht="16.8" thickTop="1" thickBot="1" x14ac:dyDescent="0.35">
      <c r="D7" s="2" t="s">
        <v>3</v>
      </c>
      <c r="E7" s="2">
        <v>24</v>
      </c>
      <c r="F7" s="2">
        <v>500</v>
      </c>
      <c r="G7" s="2">
        <f t="shared" si="0"/>
        <v>12000</v>
      </c>
      <c r="H7" s="4" t="s">
        <v>19</v>
      </c>
    </row>
    <row r="8" spans="4:10" ht="16.8" thickTop="1" thickBot="1" x14ac:dyDescent="0.35">
      <c r="D8" s="2" t="s">
        <v>4</v>
      </c>
      <c r="E8" s="2">
        <v>12</v>
      </c>
      <c r="F8" s="2">
        <v>3000</v>
      </c>
      <c r="G8" s="2">
        <f t="shared" si="0"/>
        <v>36000</v>
      </c>
      <c r="H8" s="4" t="s">
        <v>19</v>
      </c>
    </row>
    <row r="9" spans="4:10" ht="16.8" thickTop="1" thickBot="1" x14ac:dyDescent="0.35">
      <c r="D9" s="2" t="s">
        <v>5</v>
      </c>
      <c r="E9" s="2">
        <v>24</v>
      </c>
      <c r="F9" s="2">
        <v>2000</v>
      </c>
      <c r="G9" s="2">
        <f t="shared" si="0"/>
        <v>48000</v>
      </c>
      <c r="H9" s="4" t="s">
        <v>19</v>
      </c>
      <c r="I9" s="4"/>
    </row>
    <row r="10" spans="4:10" ht="16.8" thickTop="1" thickBot="1" x14ac:dyDescent="0.35">
      <c r="D10" s="2" t="s">
        <v>6</v>
      </c>
      <c r="E10" s="2">
        <v>24</v>
      </c>
      <c r="F10" s="2">
        <v>800</v>
      </c>
      <c r="G10" s="2">
        <f t="shared" si="0"/>
        <v>19200</v>
      </c>
      <c r="H10" s="4" t="s">
        <v>19</v>
      </c>
    </row>
    <row r="11" spans="4:10" ht="16.8" thickTop="1" thickBot="1" x14ac:dyDescent="0.35">
      <c r="D11" s="2" t="s">
        <v>10</v>
      </c>
      <c r="E11" s="2">
        <v>6</v>
      </c>
      <c r="F11" s="2">
        <v>2500</v>
      </c>
      <c r="G11" s="2">
        <f>F11*E11</f>
        <v>15000</v>
      </c>
      <c r="H11" s="4" t="s">
        <v>19</v>
      </c>
    </row>
    <row r="12" spans="4:10" ht="16.8" thickTop="1" thickBot="1" x14ac:dyDescent="0.35">
      <c r="D12" s="2" t="s">
        <v>12</v>
      </c>
      <c r="E12" s="12">
        <f>SUM(G5:G11)</f>
        <v>250200</v>
      </c>
      <c r="F12" s="13"/>
      <c r="G12" s="14"/>
      <c r="H12" s="4"/>
    </row>
    <row r="13" spans="4:10" ht="15" thickTop="1" x14ac:dyDescent="0.3"/>
    <row r="14" spans="4:10" ht="15" thickBot="1" x14ac:dyDescent="0.35"/>
    <row r="15" spans="4:10" ht="19.2" thickTop="1" thickBot="1" x14ac:dyDescent="0.4">
      <c r="D15" s="15" t="s">
        <v>13</v>
      </c>
      <c r="E15" s="15"/>
      <c r="F15" s="15"/>
      <c r="G15" s="15"/>
      <c r="H15" s="15"/>
      <c r="I15" s="15"/>
    </row>
    <row r="16" spans="4:10" ht="19.2" thickTop="1" thickBot="1" x14ac:dyDescent="0.4">
      <c r="D16" s="3" t="s">
        <v>12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</row>
    <row r="17" spans="4:9" ht="19.2" thickTop="1" thickBot="1" x14ac:dyDescent="0.4">
      <c r="D17" s="3">
        <f>250200+6000</f>
        <v>256200</v>
      </c>
      <c r="E17" s="3">
        <v>75000</v>
      </c>
      <c r="F17" s="3">
        <f>168998</f>
        <v>168998</v>
      </c>
      <c r="G17" s="3">
        <f>F17*1.274</f>
        <v>215303.45199999999</v>
      </c>
      <c r="H17" s="3">
        <v>115000</v>
      </c>
      <c r="I17" s="3">
        <f>G17-H17</f>
        <v>100303.45199999999</v>
      </c>
    </row>
    <row r="18" spans="4:9" ht="15" thickTop="1" x14ac:dyDescent="0.3"/>
    <row r="20" spans="4:9" ht="18" x14ac:dyDescent="0.35">
      <c r="D20" s="1"/>
    </row>
  </sheetData>
  <mergeCells count="3">
    <mergeCell ref="D3:G3"/>
    <mergeCell ref="E12:G12"/>
    <mergeCell ref="D15:I15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J17"/>
  <sheetViews>
    <sheetView tabSelected="1" topLeftCell="A2" workbookViewId="0">
      <selection activeCell="D19" sqref="D19"/>
    </sheetView>
  </sheetViews>
  <sheetFormatPr baseColWidth="10" defaultRowHeight="14.4" x14ac:dyDescent="0.3"/>
  <cols>
    <col min="5" max="5" width="23" bestFit="1" customWidth="1"/>
    <col min="8" max="8" width="14.33203125" bestFit="1" customWidth="1"/>
    <col min="9" max="9" width="16.21875" bestFit="1" customWidth="1"/>
    <col min="10" max="10" width="17.88671875" bestFit="1" customWidth="1"/>
  </cols>
  <sheetData>
    <row r="2" spans="5:10" ht="15" thickBot="1" x14ac:dyDescent="0.35"/>
    <row r="3" spans="5:10" ht="16.8" thickTop="1" thickBot="1" x14ac:dyDescent="0.35">
      <c r="E3" s="16" t="s">
        <v>36</v>
      </c>
      <c r="F3" s="16"/>
      <c r="G3" s="16"/>
      <c r="H3" s="16"/>
    </row>
    <row r="4" spans="5:10" ht="16.8" thickTop="1" thickBot="1" x14ac:dyDescent="0.35">
      <c r="E4" s="6" t="s">
        <v>0</v>
      </c>
      <c r="F4" s="6" t="s">
        <v>20</v>
      </c>
      <c r="G4" s="6" t="s">
        <v>8</v>
      </c>
      <c r="H4" s="6" t="s">
        <v>21</v>
      </c>
    </row>
    <row r="5" spans="5:10" ht="16.8" thickTop="1" thickBot="1" x14ac:dyDescent="0.35">
      <c r="E5" s="6" t="s">
        <v>22</v>
      </c>
      <c r="F5" s="6">
        <v>48</v>
      </c>
      <c r="G5" s="6">
        <v>1500</v>
      </c>
      <c r="H5" s="6">
        <f t="shared" ref="H5:H11" si="0">G5*F5</f>
        <v>72000</v>
      </c>
      <c r="I5" t="s">
        <v>19</v>
      </c>
    </row>
    <row r="6" spans="5:10" ht="16.8" thickTop="1" thickBot="1" x14ac:dyDescent="0.35">
      <c r="E6" s="6" t="s">
        <v>23</v>
      </c>
      <c r="F6" s="6">
        <f>36</f>
        <v>36</v>
      </c>
      <c r="G6" s="6">
        <v>500</v>
      </c>
      <c r="H6" s="6">
        <f t="shared" si="0"/>
        <v>18000</v>
      </c>
      <c r="I6" t="s">
        <v>19</v>
      </c>
    </row>
    <row r="7" spans="5:10" ht="16.8" thickTop="1" thickBot="1" x14ac:dyDescent="0.35">
      <c r="E7" s="6" t="s">
        <v>26</v>
      </c>
      <c r="F7" s="6">
        <v>24</v>
      </c>
      <c r="G7" s="6">
        <v>2000</v>
      </c>
      <c r="H7" s="6">
        <f t="shared" si="0"/>
        <v>48000</v>
      </c>
      <c r="I7" t="s">
        <v>19</v>
      </c>
    </row>
    <row r="8" spans="5:10" ht="16.8" thickTop="1" thickBot="1" x14ac:dyDescent="0.35">
      <c r="E8" s="6" t="s">
        <v>5</v>
      </c>
      <c r="F8" s="6">
        <v>24</v>
      </c>
      <c r="G8" s="6">
        <v>1500</v>
      </c>
      <c r="H8" s="6">
        <f t="shared" si="0"/>
        <v>36000</v>
      </c>
      <c r="I8" t="s">
        <v>19</v>
      </c>
    </row>
    <row r="9" spans="5:10" ht="16.8" thickTop="1" thickBot="1" x14ac:dyDescent="0.35">
      <c r="E9" s="6" t="s">
        <v>24</v>
      </c>
      <c r="F9" s="6">
        <v>24</v>
      </c>
      <c r="G9" s="6">
        <v>800</v>
      </c>
      <c r="H9" s="6">
        <f t="shared" si="0"/>
        <v>19200</v>
      </c>
      <c r="I9" t="s">
        <v>19</v>
      </c>
    </row>
    <row r="10" spans="5:10" ht="16.8" thickTop="1" thickBot="1" x14ac:dyDescent="0.35">
      <c r="E10" s="6" t="s">
        <v>25</v>
      </c>
      <c r="F10" s="6">
        <v>18</v>
      </c>
      <c r="G10" s="6">
        <v>6000</v>
      </c>
      <c r="H10" s="6">
        <f t="shared" si="0"/>
        <v>108000</v>
      </c>
      <c r="I10" t="s">
        <v>19</v>
      </c>
    </row>
    <row r="11" spans="5:10" ht="16.8" thickTop="1" thickBot="1" x14ac:dyDescent="0.35">
      <c r="E11" s="6" t="s">
        <v>37</v>
      </c>
      <c r="F11" s="6">
        <v>12</v>
      </c>
      <c r="G11" s="6">
        <v>2500</v>
      </c>
      <c r="H11" s="6">
        <f t="shared" si="0"/>
        <v>30000</v>
      </c>
      <c r="I11" t="s">
        <v>38</v>
      </c>
    </row>
    <row r="12" spans="5:10" ht="16.8" thickTop="1" thickBot="1" x14ac:dyDescent="0.35">
      <c r="E12" s="7" t="s">
        <v>12</v>
      </c>
      <c r="F12" s="17">
        <f>SUM(H5:H11)</f>
        <v>331200</v>
      </c>
      <c r="G12" s="18"/>
      <c r="H12" s="19"/>
    </row>
    <row r="13" spans="5:10" ht="15.6" thickTop="1" thickBot="1" x14ac:dyDescent="0.35"/>
    <row r="14" spans="5:10" ht="19.2" thickTop="1" thickBot="1" x14ac:dyDescent="0.4">
      <c r="E14" s="15" t="s">
        <v>13</v>
      </c>
      <c r="F14" s="15"/>
      <c r="G14" s="15"/>
      <c r="H14" s="15"/>
      <c r="I14" s="15"/>
      <c r="J14" s="15"/>
    </row>
    <row r="15" spans="5:10" ht="19.2" thickTop="1" thickBot="1" x14ac:dyDescent="0.4">
      <c r="E15" s="3" t="s">
        <v>12</v>
      </c>
      <c r="F15" s="3" t="s">
        <v>14</v>
      </c>
      <c r="G15" s="3" t="s">
        <v>15</v>
      </c>
      <c r="H15" s="3" t="s">
        <v>16</v>
      </c>
      <c r="I15" s="3" t="s">
        <v>17</v>
      </c>
      <c r="J15" s="3" t="s">
        <v>18</v>
      </c>
    </row>
    <row r="16" spans="5:10" ht="19.2" thickTop="1" thickBot="1" x14ac:dyDescent="0.4">
      <c r="E16" s="3">
        <f>F12</f>
        <v>331200</v>
      </c>
      <c r="F16" s="3">
        <v>50000</v>
      </c>
      <c r="G16" s="3">
        <f>E16-F16-10000</f>
        <v>271200</v>
      </c>
      <c r="H16" s="3">
        <f>G16*1.274</f>
        <v>345508.8</v>
      </c>
      <c r="I16" s="3">
        <v>264500</v>
      </c>
      <c r="J16" s="3">
        <f>H16-I16</f>
        <v>81008.799999999988</v>
      </c>
    </row>
    <row r="17" ht="15" thickTop="1" x14ac:dyDescent="0.3"/>
  </sheetData>
  <mergeCells count="3">
    <mergeCell ref="E3:H3"/>
    <mergeCell ref="E14:J14"/>
    <mergeCell ref="F12:H12"/>
  </mergeCells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J20"/>
  <sheetViews>
    <sheetView workbookViewId="0">
      <selection activeCell="K12" sqref="K12"/>
    </sheetView>
  </sheetViews>
  <sheetFormatPr baseColWidth="10" defaultRowHeight="14.4" x14ac:dyDescent="0.3"/>
  <cols>
    <col min="5" max="5" width="28.5546875" bestFit="1" customWidth="1"/>
    <col min="6" max="6" width="10.44140625" bestFit="1" customWidth="1"/>
    <col min="8" max="8" width="14.33203125" bestFit="1" customWidth="1"/>
    <col min="9" max="9" width="16.21875" bestFit="1" customWidth="1"/>
    <col min="10" max="10" width="17.88671875" bestFit="1" customWidth="1"/>
  </cols>
  <sheetData>
    <row r="3" spans="5:9" ht="15" thickBot="1" x14ac:dyDescent="0.35"/>
    <row r="4" spans="5:9" ht="18.600000000000001" thickTop="1" thickBot="1" x14ac:dyDescent="0.35">
      <c r="E4" s="20" t="s">
        <v>36</v>
      </c>
      <c r="F4" s="20"/>
      <c r="G4" s="20"/>
      <c r="H4" s="20"/>
      <c r="I4" s="8"/>
    </row>
    <row r="5" spans="5:9" ht="18.600000000000001" thickTop="1" thickBot="1" x14ac:dyDescent="0.35">
      <c r="E5" s="9" t="s">
        <v>0</v>
      </c>
      <c r="F5" s="9" t="s">
        <v>20</v>
      </c>
      <c r="G5" s="9" t="s">
        <v>8</v>
      </c>
      <c r="H5" s="9" t="s">
        <v>21</v>
      </c>
      <c r="I5" s="8"/>
    </row>
    <row r="6" spans="5:9" ht="18.600000000000001" thickTop="1" thickBot="1" x14ac:dyDescent="0.35">
      <c r="E6" s="9" t="s">
        <v>39</v>
      </c>
      <c r="F6" s="9">
        <v>12</v>
      </c>
      <c r="G6" s="9">
        <v>18500</v>
      </c>
      <c r="H6" s="9">
        <f t="shared" ref="H6:H12" si="0">G6*F6</f>
        <v>222000</v>
      </c>
      <c r="I6" s="8" t="s">
        <v>19</v>
      </c>
    </row>
    <row r="7" spans="5:9" ht="18.600000000000001" thickTop="1" thickBot="1" x14ac:dyDescent="0.35">
      <c r="E7" s="9" t="s">
        <v>23</v>
      </c>
      <c r="F7" s="9">
        <f>2*36</f>
        <v>72</v>
      </c>
      <c r="G7" s="9">
        <v>500</v>
      </c>
      <c r="H7" s="9">
        <f t="shared" si="0"/>
        <v>36000</v>
      </c>
      <c r="I7" s="8" t="s">
        <v>19</v>
      </c>
    </row>
    <row r="8" spans="5:9" ht="18.600000000000001" thickTop="1" thickBot="1" x14ac:dyDescent="0.35">
      <c r="E8" s="9" t="s">
        <v>26</v>
      </c>
      <c r="F8" s="9">
        <f>2*24</f>
        <v>48</v>
      </c>
      <c r="G8" s="9">
        <v>2000</v>
      </c>
      <c r="H8" s="9">
        <f t="shared" si="0"/>
        <v>96000</v>
      </c>
      <c r="I8" s="8" t="s">
        <v>19</v>
      </c>
    </row>
    <row r="9" spans="5:9" ht="18.600000000000001" thickTop="1" thickBot="1" x14ac:dyDescent="0.35">
      <c r="E9" s="9" t="s">
        <v>5</v>
      </c>
      <c r="F9" s="9">
        <f>2*24</f>
        <v>48</v>
      </c>
      <c r="G9" s="9">
        <v>1500</v>
      </c>
      <c r="H9" s="9">
        <f t="shared" si="0"/>
        <v>72000</v>
      </c>
      <c r="I9" s="8" t="s">
        <v>19</v>
      </c>
    </row>
    <row r="10" spans="5:9" ht="18.600000000000001" thickTop="1" thickBot="1" x14ac:dyDescent="0.35">
      <c r="E10" s="9" t="s">
        <v>24</v>
      </c>
      <c r="F10" s="9">
        <f>2*24</f>
        <v>48</v>
      </c>
      <c r="G10" s="9">
        <v>800</v>
      </c>
      <c r="H10" s="9">
        <f t="shared" si="0"/>
        <v>38400</v>
      </c>
      <c r="I10" s="8" t="s">
        <v>19</v>
      </c>
    </row>
    <row r="11" spans="5:9" ht="18.600000000000001" thickTop="1" thickBot="1" x14ac:dyDescent="0.35">
      <c r="E11" s="9" t="s">
        <v>25</v>
      </c>
      <c r="F11" s="9">
        <f>2*18</f>
        <v>36</v>
      </c>
      <c r="G11" s="9">
        <v>6000</v>
      </c>
      <c r="H11" s="9">
        <f t="shared" si="0"/>
        <v>216000</v>
      </c>
      <c r="I11" s="8" t="s">
        <v>19</v>
      </c>
    </row>
    <row r="12" spans="5:9" ht="18.600000000000001" thickTop="1" thickBot="1" x14ac:dyDescent="0.35">
      <c r="E12" s="9" t="s">
        <v>37</v>
      </c>
      <c r="F12" s="9">
        <f>3*12</f>
        <v>36</v>
      </c>
      <c r="G12" s="9">
        <v>2500</v>
      </c>
      <c r="H12" s="9">
        <f t="shared" si="0"/>
        <v>90000</v>
      </c>
      <c r="I12" s="8" t="s">
        <v>19</v>
      </c>
    </row>
    <row r="13" spans="5:9" ht="18.600000000000001" thickTop="1" thickBot="1" x14ac:dyDescent="0.35">
      <c r="E13" s="10" t="s">
        <v>12</v>
      </c>
      <c r="F13" s="21">
        <f>SUM(H6:H12)</f>
        <v>770400</v>
      </c>
      <c r="G13" s="22"/>
      <c r="H13" s="23"/>
      <c r="I13" s="8"/>
    </row>
    <row r="14" spans="5:9" ht="15" thickTop="1" x14ac:dyDescent="0.3"/>
    <row r="16" spans="5:9" ht="15" thickBot="1" x14ac:dyDescent="0.35"/>
    <row r="17" spans="5:10" ht="18.600000000000001" thickTop="1" thickBot="1" x14ac:dyDescent="0.35">
      <c r="E17" s="20" t="s">
        <v>13</v>
      </c>
      <c r="F17" s="20"/>
      <c r="G17" s="20"/>
      <c r="H17" s="20"/>
      <c r="I17" s="20"/>
      <c r="J17" s="20"/>
    </row>
    <row r="18" spans="5:10" ht="18.600000000000001" thickTop="1" thickBot="1" x14ac:dyDescent="0.35">
      <c r="E18" s="9" t="s">
        <v>12</v>
      </c>
      <c r="F18" s="9" t="s">
        <v>14</v>
      </c>
      <c r="G18" s="9" t="s">
        <v>15</v>
      </c>
      <c r="H18" s="9" t="s">
        <v>16</v>
      </c>
      <c r="I18" s="9" t="s">
        <v>17</v>
      </c>
      <c r="J18" s="9" t="s">
        <v>18</v>
      </c>
    </row>
    <row r="19" spans="5:10" ht="18.600000000000001" thickTop="1" thickBot="1" x14ac:dyDescent="0.35">
      <c r="E19" s="9">
        <f>F13</f>
        <v>770400</v>
      </c>
      <c r="F19" s="9">
        <v>150000</v>
      </c>
      <c r="G19" s="9">
        <f>E19-F19-10000</f>
        <v>610400</v>
      </c>
      <c r="H19" s="9">
        <f>G19*1.274-20000</f>
        <v>757649.6</v>
      </c>
      <c r="I19" s="9">
        <f>240000+120000</f>
        <v>360000</v>
      </c>
      <c r="J19" s="9">
        <f>H19-I19</f>
        <v>397649.6</v>
      </c>
    </row>
    <row r="20" spans="5:10" ht="15" thickTop="1" x14ac:dyDescent="0.3"/>
  </sheetData>
  <mergeCells count="3">
    <mergeCell ref="E4:H4"/>
    <mergeCell ref="F13:H13"/>
    <mergeCell ref="E17:J17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H11"/>
  <sheetViews>
    <sheetView workbookViewId="0">
      <selection activeCell="G17" sqref="G17"/>
    </sheetView>
  </sheetViews>
  <sheetFormatPr baseColWidth="10" defaultRowHeight="14.4" x14ac:dyDescent="0.3"/>
  <cols>
    <col min="5" max="5" width="12" bestFit="1" customWidth="1"/>
    <col min="6" max="6" width="8.33203125" bestFit="1" customWidth="1"/>
    <col min="7" max="7" width="21.88671875" bestFit="1" customWidth="1"/>
  </cols>
  <sheetData>
    <row r="2" spans="5:8" ht="15" thickBot="1" x14ac:dyDescent="0.35"/>
    <row r="3" spans="5:8" ht="19.2" thickTop="1" thickBot="1" x14ac:dyDescent="0.4">
      <c r="E3" s="15" t="s">
        <v>30</v>
      </c>
      <c r="F3" s="15"/>
      <c r="G3" s="15"/>
      <c r="H3" s="15"/>
    </row>
    <row r="4" spans="5:8" ht="19.2" thickTop="1" thickBot="1" x14ac:dyDescent="0.4">
      <c r="E4" s="3" t="s">
        <v>27</v>
      </c>
      <c r="F4" s="3" t="s">
        <v>28</v>
      </c>
      <c r="G4" s="3" t="s">
        <v>29</v>
      </c>
      <c r="H4" s="3" t="s">
        <v>9</v>
      </c>
    </row>
    <row r="5" spans="5:8" ht="19.2" thickTop="1" thickBot="1" x14ac:dyDescent="0.4">
      <c r="E5" s="3">
        <v>1</v>
      </c>
      <c r="F5" s="3">
        <v>15000</v>
      </c>
      <c r="G5" s="3">
        <v>30</v>
      </c>
      <c r="H5" s="3">
        <f>F5*G5</f>
        <v>450000</v>
      </c>
    </row>
    <row r="6" spans="5:8" ht="15" thickTop="1" x14ac:dyDescent="0.3"/>
    <row r="7" spans="5:8" ht="15" thickBot="1" x14ac:dyDescent="0.35"/>
    <row r="8" spans="5:8" ht="19.2" thickTop="1" thickBot="1" x14ac:dyDescent="0.4">
      <c r="E8" s="15" t="s">
        <v>35</v>
      </c>
      <c r="F8" s="15"/>
      <c r="G8" s="15"/>
      <c r="H8" s="15"/>
    </row>
    <row r="9" spans="5:8" ht="19.2" thickTop="1" thickBot="1" x14ac:dyDescent="0.4">
      <c r="E9" s="3" t="s">
        <v>31</v>
      </c>
      <c r="F9" s="3" t="s">
        <v>32</v>
      </c>
      <c r="G9" s="3" t="s">
        <v>33</v>
      </c>
      <c r="H9" s="3" t="s">
        <v>34</v>
      </c>
    </row>
    <row r="10" spans="5:8" ht="19.2" thickTop="1" thickBot="1" x14ac:dyDescent="0.4">
      <c r="E10" s="3">
        <f>H5</f>
        <v>450000</v>
      </c>
      <c r="F10" s="3">
        <f>90000+35000</f>
        <v>125000</v>
      </c>
      <c r="G10" s="3">
        <v>85000</v>
      </c>
      <c r="H10" s="3">
        <f>E10-F10-G10</f>
        <v>240000</v>
      </c>
    </row>
    <row r="11" spans="5:8" ht="15" thickTop="1" x14ac:dyDescent="0.3"/>
  </sheetData>
  <mergeCells count="2">
    <mergeCell ref="E3:H3"/>
    <mergeCell ref="E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Feuil4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ABOUBACAR</dc:creator>
  <cp:lastModifiedBy>DANIA ABOUBACAR</cp:lastModifiedBy>
  <dcterms:created xsi:type="dcterms:W3CDTF">2026-06-01T15:37:25Z</dcterms:created>
  <dcterms:modified xsi:type="dcterms:W3CDTF">2026-06-18T20:02:15Z</dcterms:modified>
</cp:coreProperties>
</file>