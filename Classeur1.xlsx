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A ABOUBACAR\Desktop\marchandise 24 calcul\"/>
    </mc:Choice>
  </mc:AlternateContent>
  <bookViews>
    <workbookView xWindow="0" yWindow="0" windowWidth="23040" windowHeight="868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J17" i="1" l="1"/>
  <c r="I19" i="1" l="1"/>
  <c r="I18" i="1"/>
  <c r="I17" i="1"/>
  <c r="I6" i="1"/>
  <c r="I7" i="1"/>
  <c r="I8" i="1"/>
  <c r="I10" i="1" s="1"/>
  <c r="I11" i="1" s="1"/>
  <c r="J5" i="1" s="1"/>
  <c r="I9" i="1"/>
  <c r="I5" i="1"/>
</calcChain>
</file>

<file path=xl/sharedStrings.xml><?xml version="1.0" encoding="utf-8"?>
<sst xmlns="http://schemas.openxmlformats.org/spreadsheetml/2006/main" count="21" uniqueCount="19">
  <si>
    <t>marchandise 24</t>
  </si>
  <si>
    <t>materiel</t>
  </si>
  <si>
    <t>quantité</t>
  </si>
  <si>
    <t>prix par produit</t>
  </si>
  <si>
    <t xml:space="preserve">total </t>
  </si>
  <si>
    <t xml:space="preserve">prix senegal </t>
  </si>
  <si>
    <t>musc tahara</t>
  </si>
  <si>
    <t xml:space="preserve">gommages et gans </t>
  </si>
  <si>
    <t>nova</t>
  </si>
  <si>
    <t xml:space="preserve">imbriqué curcuma </t>
  </si>
  <si>
    <t xml:space="preserve">brosse et bandeaux </t>
  </si>
  <si>
    <t xml:space="preserve">total apres livreur </t>
  </si>
  <si>
    <t xml:space="preserve">achat </t>
  </si>
  <si>
    <t xml:space="preserve">prochaine voyage programme telephone et utilisation ici avec madame </t>
  </si>
  <si>
    <t xml:space="preserve">prix par produit </t>
  </si>
  <si>
    <t>total</t>
  </si>
  <si>
    <t>prix senegal</t>
  </si>
  <si>
    <t xml:space="preserve">nova </t>
  </si>
  <si>
    <t xml:space="preserve">musc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</si>
</sst>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2:O20"/>
  <sheetViews>
    <sheetView tabSelected="1" workbookViewId="0">
      <selection activeCell="G9" sqref="G9"/>
    </sheetView>
  </sheetViews>
  <sheetFormatPr baseColWidth="10" defaultRowHeight="14.4" x14ac:dyDescent="0.3"/>
  <cols>
    <col min="6" max="6" width="19.5546875" bestFit="1" customWidth="1"/>
    <col min="8" max="8" width="15.5546875" bestFit="1" customWidth="1"/>
    <col min="10" max="10" width="12.77734375" bestFit="1" customWidth="1"/>
  </cols>
  <sheetData>
    <row r="2" spans="6:15" ht="15" thickBot="1" x14ac:dyDescent="0.35"/>
    <row r="3" spans="6:15" ht="16.8" thickTop="1" thickBot="1" x14ac:dyDescent="0.35">
      <c r="F3" s="3" t="s">
        <v>0</v>
      </c>
      <c r="G3" s="3"/>
      <c r="H3" s="3"/>
      <c r="I3" s="3"/>
      <c r="J3" s="3"/>
    </row>
    <row r="4" spans="6:15" ht="16.8" thickTop="1" thickBot="1" x14ac:dyDescent="0.35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L4" s="2"/>
      <c r="M4" s="2"/>
      <c r="N4" s="2"/>
      <c r="O4" s="2"/>
    </row>
    <row r="5" spans="6:15" ht="16.8" thickTop="1" thickBot="1" x14ac:dyDescent="0.35">
      <c r="F5" s="1" t="s">
        <v>6</v>
      </c>
      <c r="G5" s="1">
        <v>24</v>
      </c>
      <c r="H5" s="1">
        <v>2000</v>
      </c>
      <c r="I5" s="1">
        <f>H5*G5</f>
        <v>48000</v>
      </c>
      <c r="J5" s="3">
        <f>I11*1.33</f>
        <v>333830</v>
      </c>
    </row>
    <row r="6" spans="6:15" ht="16.8" thickTop="1" thickBot="1" x14ac:dyDescent="0.35">
      <c r="F6" s="1" t="s">
        <v>7</v>
      </c>
      <c r="G6" s="1">
        <v>12</v>
      </c>
      <c r="H6" s="1">
        <v>3500</v>
      </c>
      <c r="I6" s="1">
        <f>H6*G6</f>
        <v>42000</v>
      </c>
      <c r="J6" s="3"/>
    </row>
    <row r="7" spans="6:15" ht="16.8" thickTop="1" thickBot="1" x14ac:dyDescent="0.35">
      <c r="F7" s="1" t="s">
        <v>8</v>
      </c>
      <c r="G7" s="1">
        <v>14</v>
      </c>
      <c r="H7" s="1">
        <v>6000</v>
      </c>
      <c r="I7" s="1">
        <f>H7*G7</f>
        <v>84000</v>
      </c>
      <c r="J7" s="3"/>
    </row>
    <row r="8" spans="6:15" ht="16.8" thickTop="1" thickBot="1" x14ac:dyDescent="0.35">
      <c r="F8" s="1" t="s">
        <v>9</v>
      </c>
      <c r="G8" s="1">
        <f>24</f>
        <v>24</v>
      </c>
      <c r="H8" s="1">
        <v>4000</v>
      </c>
      <c r="I8" s="1">
        <f>H8*G8</f>
        <v>96000</v>
      </c>
      <c r="J8" s="3"/>
    </row>
    <row r="9" spans="6:15" ht="16.8" thickTop="1" thickBot="1" x14ac:dyDescent="0.35">
      <c r="F9" s="1" t="s">
        <v>10</v>
      </c>
      <c r="G9" s="1">
        <v>6</v>
      </c>
      <c r="H9" s="1">
        <v>2500</v>
      </c>
      <c r="I9" s="1">
        <f>H9*G9</f>
        <v>15000</v>
      </c>
      <c r="J9" s="3"/>
    </row>
    <row r="10" spans="6:15" ht="16.8" thickTop="1" thickBot="1" x14ac:dyDescent="0.35">
      <c r="F10" s="1" t="s">
        <v>4</v>
      </c>
      <c r="G10" s="3"/>
      <c r="H10" s="3"/>
      <c r="I10" s="1">
        <f>SUM(I5:I5:I9)+3000</f>
        <v>288000</v>
      </c>
      <c r="J10" s="3"/>
    </row>
    <row r="11" spans="6:15" ht="16.8" thickTop="1" thickBot="1" x14ac:dyDescent="0.35">
      <c r="F11" s="1" t="s">
        <v>11</v>
      </c>
      <c r="G11" s="3"/>
      <c r="H11" s="3"/>
      <c r="I11" s="1">
        <f>I10-10000+3000-30000</f>
        <v>251000</v>
      </c>
      <c r="J11" s="3"/>
    </row>
    <row r="12" spans="6:15" ht="15" thickTop="1" x14ac:dyDescent="0.3"/>
    <row r="14" spans="6:15" ht="15" thickBot="1" x14ac:dyDescent="0.35"/>
    <row r="15" spans="6:15" ht="16.8" thickTop="1" thickBot="1" x14ac:dyDescent="0.35">
      <c r="F15" s="3" t="s">
        <v>13</v>
      </c>
      <c r="G15" s="3"/>
      <c r="H15" s="3"/>
      <c r="I15" s="3"/>
      <c r="J15" s="3"/>
    </row>
    <row r="16" spans="6:15" ht="16.8" thickTop="1" thickBot="1" x14ac:dyDescent="0.35">
      <c r="F16" s="1" t="s">
        <v>12</v>
      </c>
      <c r="G16" s="1" t="s">
        <v>2</v>
      </c>
      <c r="H16" s="1" t="s">
        <v>14</v>
      </c>
      <c r="I16" s="1" t="s">
        <v>15</v>
      </c>
      <c r="J16" s="1" t="s">
        <v>16</v>
      </c>
    </row>
    <row r="17" spans="6:10" ht="16.8" thickTop="1" thickBot="1" x14ac:dyDescent="0.35">
      <c r="F17" s="1" t="s">
        <v>17</v>
      </c>
      <c r="G17" s="1">
        <v>24</v>
      </c>
      <c r="H17" s="1">
        <v>6000</v>
      </c>
      <c r="I17" s="1">
        <f>H17*G17</f>
        <v>144000</v>
      </c>
      <c r="J17" s="3">
        <f>I19*1.33</f>
        <v>255360</v>
      </c>
    </row>
    <row r="18" spans="6:10" ht="16.8" thickTop="1" thickBot="1" x14ac:dyDescent="0.35">
      <c r="F18" s="1" t="s">
        <v>18</v>
      </c>
      <c r="G18" s="1">
        <v>24</v>
      </c>
      <c r="H18" s="1">
        <v>2000</v>
      </c>
      <c r="I18" s="1">
        <f>H18*G18</f>
        <v>48000</v>
      </c>
      <c r="J18" s="3"/>
    </row>
    <row r="19" spans="6:10" ht="16.8" thickTop="1" thickBot="1" x14ac:dyDescent="0.35">
      <c r="F19" s="1"/>
      <c r="G19" s="1"/>
      <c r="H19" s="1"/>
      <c r="I19" s="1">
        <f>I17+I18</f>
        <v>192000</v>
      </c>
      <c r="J19" s="1"/>
    </row>
    <row r="20" spans="6:10" ht="15" thickTop="1" x14ac:dyDescent="0.3"/>
  </sheetData>
  <mergeCells count="6">
    <mergeCell ref="F15:J15"/>
    <mergeCell ref="J17:J18"/>
    <mergeCell ref="F3:J3"/>
    <mergeCell ref="J5:J11"/>
    <mergeCell ref="G10:H10"/>
    <mergeCell ref="G11:H11"/>
  </mergeCells>
  <pageMargins left="0.25" right="0.25" top="0.75" bottom="0.75" header="0.3" footer="0.3"/>
  <pageSetup paperSize="11" scale="37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ABOUBACAR</dc:creator>
  <cp:lastModifiedBy>DANIA ABOUBACAR</cp:lastModifiedBy>
  <cp:lastPrinted>2026-05-24T01:46:36Z</cp:lastPrinted>
  <dcterms:created xsi:type="dcterms:W3CDTF">2026-05-24T01:00:35Z</dcterms:created>
  <dcterms:modified xsi:type="dcterms:W3CDTF">2026-06-13T14:00:55Z</dcterms:modified>
</cp:coreProperties>
</file>